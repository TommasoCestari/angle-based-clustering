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7d033d74ed90f2/Documenti/"/>
    </mc:Choice>
  </mc:AlternateContent>
  <xr:revisionPtr revIDLastSave="46" documentId="8_{484383E0-57F4-4A49-8369-982C1455189E}" xr6:coauthVersionLast="47" xr6:coauthVersionMax="47" xr10:uidLastSave="{A8224D71-6347-4C46-BC64-754B7F29B10C}"/>
  <bookViews>
    <workbookView xWindow="-110" yWindow="-110" windowWidth="19420" windowHeight="11500" xr2:uid="{BA7B2E7D-8ED0-4B49-A87F-D67856396061}"/>
  </bookViews>
  <sheets>
    <sheet name="results_5_1.3_7" sheetId="1" r:id="rId1"/>
  </sheets>
  <calcPr calcId="0"/>
</workbook>
</file>

<file path=xl/calcChain.xml><?xml version="1.0" encoding="utf-8"?>
<calcChain xmlns="http://schemas.openxmlformats.org/spreadsheetml/2006/main">
  <c r="B85" i="1" l="1"/>
  <c r="C85" i="1"/>
  <c r="D85" i="1"/>
  <c r="E85" i="1"/>
  <c r="F85" i="1"/>
  <c r="G85" i="1"/>
  <c r="H85" i="1"/>
  <c r="I85" i="1"/>
  <c r="J85" i="1"/>
  <c r="K85" i="1"/>
  <c r="L85" i="1"/>
  <c r="A85" i="1"/>
  <c r="B66" i="1"/>
  <c r="C66" i="1"/>
  <c r="D66" i="1"/>
  <c r="E66" i="1"/>
  <c r="F66" i="1"/>
  <c r="G66" i="1"/>
  <c r="H66" i="1"/>
  <c r="I66" i="1"/>
  <c r="J66" i="1"/>
  <c r="K66" i="1"/>
  <c r="L66" i="1"/>
  <c r="A66" i="1"/>
  <c r="B48" i="1"/>
  <c r="C48" i="1"/>
  <c r="D48" i="1"/>
  <c r="E48" i="1"/>
  <c r="F48" i="1"/>
  <c r="G48" i="1"/>
  <c r="H48" i="1"/>
  <c r="I48" i="1"/>
  <c r="J48" i="1"/>
  <c r="K48" i="1"/>
  <c r="L48" i="1"/>
  <c r="A48" i="1"/>
  <c r="C34" i="1"/>
  <c r="A34" i="1"/>
  <c r="D34" i="1"/>
  <c r="E34" i="1"/>
  <c r="F34" i="1"/>
  <c r="G34" i="1"/>
  <c r="H34" i="1"/>
  <c r="I34" i="1"/>
  <c r="J34" i="1"/>
  <c r="K34" i="1"/>
  <c r="L34" i="1"/>
  <c r="B34" i="1"/>
  <c r="B18" i="1"/>
  <c r="C18" i="1"/>
  <c r="D18" i="1"/>
  <c r="E18" i="1"/>
  <c r="F18" i="1"/>
  <c r="G18" i="1"/>
  <c r="H18" i="1"/>
  <c r="I18" i="1"/>
  <c r="J18" i="1"/>
  <c r="K18" i="1"/>
  <c r="L18" i="1"/>
  <c r="A18" i="1"/>
</calcChain>
</file>

<file path=xl/sharedStrings.xml><?xml version="1.0" encoding="utf-8"?>
<sst xmlns="http://schemas.openxmlformats.org/spreadsheetml/2006/main" count="17" uniqueCount="13">
  <si>
    <t>Points</t>
  </si>
  <si>
    <t>Nodes</t>
  </si>
  <si>
    <t>S1-Parsing</t>
  </si>
  <si>
    <t>S2-Kd-tree</t>
  </si>
  <si>
    <t>S3-Up max angles</t>
  </si>
  <si>
    <t>S3.5-AllGather angles</t>
  </si>
  <si>
    <t>S4-EPS&amp;other</t>
  </si>
  <si>
    <t>S5-DBSCAN</t>
  </si>
  <si>
    <t>S6-Border-tree</t>
  </si>
  <si>
    <t>S7-Core points</t>
  </si>
  <si>
    <t>S7.5-AlltoAll</t>
  </si>
  <si>
    <t>S8-File print/Total Time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</si>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</sst>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6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1064-7817-436D-997D-5E0AA1C512F2}">
  <dimension ref="A1:M88"/>
  <sheetViews>
    <sheetView tabSelected="1" topLeftCell="A68" workbookViewId="0">
      <selection activeCell="F90" sqref="F90"/>
    </sheetView>
  </sheetViews>
  <sheetFormatPr defaultRowHeight="14.5" x14ac:dyDescent="0.35"/>
  <cols>
    <col min="3" max="3" width="9.453125" bestFit="1" customWidth="1"/>
    <col min="4" max="4" width="9.36328125" bestFit="1" customWidth="1"/>
    <col min="5" max="5" width="15.1796875" bestFit="1" customWidth="1"/>
    <col min="6" max="6" width="18.36328125" bestFit="1" customWidth="1"/>
    <col min="7" max="7" width="12" bestFit="1" customWidth="1"/>
    <col min="8" max="8" width="10.453125" bestFit="1" customWidth="1"/>
    <col min="9" max="10" width="12.7265625" bestFit="1" customWidth="1"/>
    <col min="11" max="11" width="10.6328125" bestFit="1" customWidth="1"/>
    <col min="12" max="12" width="19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52072</v>
      </c>
      <c r="B2">
        <v>1</v>
      </c>
      <c r="C2">
        <v>8.8999999999999999E-3</v>
      </c>
      <c r="D2">
        <v>0.1071</v>
      </c>
      <c r="E2">
        <v>26.2165</v>
      </c>
      <c r="F2">
        <v>26.219100000000001</v>
      </c>
      <c r="G2">
        <v>26.2212</v>
      </c>
      <c r="H2">
        <v>47.878799999999998</v>
      </c>
      <c r="I2">
        <v>47.893599999999999</v>
      </c>
      <c r="J2">
        <v>55.253900000000002</v>
      </c>
      <c r="K2">
        <v>55.255400000000002</v>
      </c>
      <c r="L2">
        <v>55.426499999999997</v>
      </c>
    </row>
    <row r="3" spans="1:12" x14ac:dyDescent="0.35">
      <c r="A3">
        <v>52072</v>
      </c>
      <c r="B3">
        <v>1</v>
      </c>
      <c r="C3">
        <v>2.5999999999999999E-2</v>
      </c>
      <c r="D3">
        <v>0.13020000000000001</v>
      </c>
      <c r="E3">
        <v>26.660900000000002</v>
      </c>
      <c r="F3">
        <v>26.664100000000001</v>
      </c>
      <c r="G3">
        <v>26.666</v>
      </c>
      <c r="H3">
        <v>48.351700000000001</v>
      </c>
      <c r="I3">
        <v>48.366900000000001</v>
      </c>
      <c r="J3">
        <v>55.920299999999997</v>
      </c>
      <c r="K3">
        <v>55.921799999999998</v>
      </c>
      <c r="L3">
        <v>56.270299999999999</v>
      </c>
    </row>
    <row r="4" spans="1:12" x14ac:dyDescent="0.35">
      <c r="A4">
        <v>52072</v>
      </c>
      <c r="B4">
        <v>1</v>
      </c>
      <c r="C4">
        <v>4.02E-2</v>
      </c>
      <c r="D4">
        <v>0.14510000000000001</v>
      </c>
      <c r="E4">
        <v>26.196899999999999</v>
      </c>
      <c r="F4">
        <v>26.199300000000001</v>
      </c>
      <c r="G4">
        <v>26.2014</v>
      </c>
      <c r="H4">
        <v>47.763399999999997</v>
      </c>
      <c r="I4">
        <v>47.777999999999999</v>
      </c>
      <c r="J4">
        <v>55.1404</v>
      </c>
      <c r="K4">
        <v>55.1419</v>
      </c>
      <c r="L4">
        <v>55.533900000000003</v>
      </c>
    </row>
    <row r="5" spans="1:12" x14ac:dyDescent="0.35">
      <c r="A5">
        <v>52072</v>
      </c>
      <c r="B5">
        <v>1</v>
      </c>
      <c r="C5">
        <v>3.5200000000000002E-2</v>
      </c>
      <c r="D5">
        <v>0.13400000000000001</v>
      </c>
      <c r="E5">
        <v>26.234100000000002</v>
      </c>
      <c r="F5">
        <v>26.236699999999999</v>
      </c>
      <c r="G5">
        <v>26.238700000000001</v>
      </c>
      <c r="H5">
        <v>47.893000000000001</v>
      </c>
      <c r="I5">
        <v>47.907600000000002</v>
      </c>
      <c r="J5">
        <v>55.295299999999997</v>
      </c>
      <c r="K5">
        <v>55.296700000000001</v>
      </c>
      <c r="L5">
        <v>55.486800000000002</v>
      </c>
    </row>
    <row r="6" spans="1:12" x14ac:dyDescent="0.35">
      <c r="A6">
        <v>52072</v>
      </c>
      <c r="B6">
        <v>1</v>
      </c>
      <c r="C6">
        <v>5.45E-2</v>
      </c>
      <c r="D6">
        <v>0.15770000000000001</v>
      </c>
      <c r="E6">
        <v>26.311599999999999</v>
      </c>
      <c r="F6">
        <v>26.3142</v>
      </c>
      <c r="G6">
        <v>26.316199999999998</v>
      </c>
      <c r="H6">
        <v>48.0304</v>
      </c>
      <c r="I6">
        <v>48.044899999999998</v>
      </c>
      <c r="J6">
        <v>55.396599999999999</v>
      </c>
      <c r="K6">
        <v>55.398099999999999</v>
      </c>
      <c r="L6">
        <v>56.047400000000003</v>
      </c>
    </row>
    <row r="7" spans="1:12" x14ac:dyDescent="0.35">
      <c r="A7">
        <v>52072</v>
      </c>
      <c r="B7">
        <v>1</v>
      </c>
      <c r="C7">
        <v>5.8599999999999999E-2</v>
      </c>
      <c r="D7">
        <v>0.1593</v>
      </c>
      <c r="E7">
        <v>26.284700000000001</v>
      </c>
      <c r="F7">
        <v>26.287400000000002</v>
      </c>
      <c r="G7">
        <v>26.289300000000001</v>
      </c>
      <c r="H7">
        <v>47.956200000000003</v>
      </c>
      <c r="I7">
        <v>47.970799999999997</v>
      </c>
      <c r="J7">
        <v>55.318399999999997</v>
      </c>
      <c r="K7">
        <v>55.319899999999997</v>
      </c>
      <c r="L7">
        <v>55.840400000000002</v>
      </c>
    </row>
    <row r="8" spans="1:12" x14ac:dyDescent="0.35">
      <c r="A8">
        <v>52072</v>
      </c>
      <c r="B8">
        <v>1</v>
      </c>
      <c r="C8">
        <v>3.6200000000000003E-2</v>
      </c>
      <c r="D8">
        <v>0.1391</v>
      </c>
      <c r="E8">
        <v>26.7819</v>
      </c>
      <c r="F8">
        <v>26.784600000000001</v>
      </c>
      <c r="G8">
        <v>26.7866</v>
      </c>
      <c r="H8">
        <v>48.509599999999999</v>
      </c>
      <c r="I8">
        <v>48.524799999999999</v>
      </c>
      <c r="J8">
        <v>56.1051</v>
      </c>
      <c r="K8">
        <v>56.106400000000001</v>
      </c>
      <c r="L8">
        <v>56.294600000000003</v>
      </c>
    </row>
    <row r="9" spans="1:12" x14ac:dyDescent="0.35">
      <c r="A9">
        <v>52072</v>
      </c>
      <c r="B9">
        <v>1</v>
      </c>
      <c r="C9">
        <v>2.93E-2</v>
      </c>
      <c r="D9">
        <v>0.1308</v>
      </c>
      <c r="E9">
        <v>26.793800000000001</v>
      </c>
      <c r="F9">
        <v>26.796600000000002</v>
      </c>
      <c r="G9">
        <v>26.798500000000001</v>
      </c>
      <c r="H9">
        <v>48.525199999999998</v>
      </c>
      <c r="I9">
        <v>48.540500000000002</v>
      </c>
      <c r="J9">
        <v>56.132100000000001</v>
      </c>
      <c r="K9">
        <v>56.133600000000001</v>
      </c>
      <c r="L9">
        <v>56.2866</v>
      </c>
    </row>
    <row r="10" spans="1:12" x14ac:dyDescent="0.35">
      <c r="A10">
        <v>52072</v>
      </c>
      <c r="B10">
        <v>1</v>
      </c>
      <c r="C10">
        <v>3.4299999999999997E-2</v>
      </c>
      <c r="D10">
        <v>0.13539999999999999</v>
      </c>
      <c r="E10">
        <v>26.674199999999999</v>
      </c>
      <c r="F10">
        <v>26.677900000000001</v>
      </c>
      <c r="G10">
        <v>26.6799</v>
      </c>
      <c r="H10">
        <v>48.282699999999998</v>
      </c>
      <c r="I10">
        <v>48.2971</v>
      </c>
      <c r="J10">
        <v>55.6126</v>
      </c>
      <c r="K10">
        <v>55.614100000000001</v>
      </c>
      <c r="L10">
        <v>55.9024</v>
      </c>
    </row>
    <row r="11" spans="1:12" x14ac:dyDescent="0.35">
      <c r="A11">
        <v>52072</v>
      </c>
      <c r="B11">
        <v>1</v>
      </c>
      <c r="C11">
        <v>7.0000000000000001E-3</v>
      </c>
      <c r="D11">
        <v>0.1024</v>
      </c>
      <c r="E11">
        <v>26.194900000000001</v>
      </c>
      <c r="F11">
        <v>26.197399999999998</v>
      </c>
      <c r="G11">
        <v>26.199400000000001</v>
      </c>
      <c r="H11">
        <v>47.922899999999998</v>
      </c>
      <c r="I11">
        <v>47.9375</v>
      </c>
      <c r="J11">
        <v>55.281799999999997</v>
      </c>
      <c r="K11">
        <v>55.283299999999997</v>
      </c>
      <c r="L11">
        <v>55.607599999999998</v>
      </c>
    </row>
    <row r="12" spans="1:12" x14ac:dyDescent="0.35">
      <c r="A12">
        <v>52072</v>
      </c>
      <c r="B12">
        <v>1</v>
      </c>
      <c r="C12">
        <v>6.1999999999999998E-3</v>
      </c>
      <c r="D12">
        <v>0.1017</v>
      </c>
      <c r="E12">
        <v>26.2041</v>
      </c>
      <c r="F12">
        <v>26.206700000000001</v>
      </c>
      <c r="G12">
        <v>26.2087</v>
      </c>
      <c r="H12">
        <v>47.884999999999998</v>
      </c>
      <c r="I12">
        <v>47.8996</v>
      </c>
      <c r="J12">
        <v>55.235900000000001</v>
      </c>
      <c r="K12">
        <v>55.237400000000001</v>
      </c>
      <c r="L12">
        <v>55.562899999999999</v>
      </c>
    </row>
    <row r="13" spans="1:12" x14ac:dyDescent="0.35">
      <c r="A13">
        <v>52072</v>
      </c>
      <c r="B13">
        <v>1</v>
      </c>
      <c r="C13">
        <v>9.2999999999999992E-3</v>
      </c>
      <c r="D13">
        <v>0.10920000000000001</v>
      </c>
      <c r="E13">
        <v>26.6935</v>
      </c>
      <c r="F13">
        <v>26.696400000000001</v>
      </c>
      <c r="G13">
        <v>26.6983</v>
      </c>
      <c r="H13">
        <v>48.296500000000002</v>
      </c>
      <c r="I13">
        <v>48.311199999999999</v>
      </c>
      <c r="J13">
        <v>55.7378</v>
      </c>
      <c r="K13">
        <v>55.739199999999997</v>
      </c>
      <c r="L13">
        <v>55.844700000000003</v>
      </c>
    </row>
    <row r="14" spans="1:12" x14ac:dyDescent="0.35">
      <c r="A14">
        <v>52072</v>
      </c>
      <c r="B14">
        <v>1</v>
      </c>
      <c r="C14">
        <v>9.1000000000000004E-3</v>
      </c>
      <c r="D14">
        <v>0.1095</v>
      </c>
      <c r="E14">
        <v>26.789100000000001</v>
      </c>
      <c r="F14">
        <v>26.791799999999999</v>
      </c>
      <c r="G14">
        <v>26.793700000000001</v>
      </c>
      <c r="H14">
        <v>48.396299999999997</v>
      </c>
      <c r="I14">
        <v>48.411000000000001</v>
      </c>
      <c r="J14">
        <v>55.867699999999999</v>
      </c>
      <c r="K14">
        <v>55.868899999999996</v>
      </c>
      <c r="L14">
        <v>56.010199999999998</v>
      </c>
    </row>
    <row r="15" spans="1:12" x14ac:dyDescent="0.35">
      <c r="A15">
        <v>52072</v>
      </c>
      <c r="B15">
        <v>1</v>
      </c>
      <c r="C15">
        <v>2.3199999999999998E-2</v>
      </c>
      <c r="D15">
        <v>0.1242</v>
      </c>
      <c r="E15">
        <v>26.719200000000001</v>
      </c>
      <c r="F15">
        <v>26.721699999999998</v>
      </c>
      <c r="G15">
        <v>26.723600000000001</v>
      </c>
      <c r="H15">
        <v>48.351199999999999</v>
      </c>
      <c r="I15">
        <v>48.3658</v>
      </c>
      <c r="J15">
        <v>55.771500000000003</v>
      </c>
      <c r="K15">
        <v>55.773099999999999</v>
      </c>
      <c r="L15">
        <v>55.9009</v>
      </c>
    </row>
    <row r="16" spans="1:12" x14ac:dyDescent="0.35">
      <c r="A16">
        <v>52072</v>
      </c>
      <c r="B16">
        <v>1</v>
      </c>
      <c r="C16">
        <v>1.29E-2</v>
      </c>
      <c r="D16">
        <v>0.1125</v>
      </c>
      <c r="E16">
        <v>26.7408</v>
      </c>
      <c r="F16">
        <v>26.743200000000002</v>
      </c>
      <c r="G16">
        <v>26.7454</v>
      </c>
      <c r="H16">
        <v>48.475299999999997</v>
      </c>
      <c r="I16">
        <v>48.490499999999997</v>
      </c>
      <c r="J16">
        <v>56.042700000000004</v>
      </c>
      <c r="K16">
        <v>56.044199999999996</v>
      </c>
      <c r="L16">
        <v>56.176499999999997</v>
      </c>
    </row>
    <row r="17" spans="1:13" x14ac:dyDescent="0.35">
      <c r="A17">
        <v>52072</v>
      </c>
      <c r="B17">
        <v>1</v>
      </c>
      <c r="C17">
        <v>7.7999999999999996E-3</v>
      </c>
      <c r="D17">
        <v>0.1031</v>
      </c>
      <c r="E17">
        <v>26.249500000000001</v>
      </c>
      <c r="F17">
        <v>26.252300000000002</v>
      </c>
      <c r="G17">
        <v>26.254200000000001</v>
      </c>
      <c r="H17">
        <v>48.011099999999999</v>
      </c>
      <c r="I17">
        <v>48.0261</v>
      </c>
      <c r="J17">
        <v>55.434399999999997</v>
      </c>
      <c r="K17">
        <v>55.436</v>
      </c>
      <c r="L17">
        <v>55.568899999999999</v>
      </c>
    </row>
    <row r="18" spans="1:13" x14ac:dyDescent="0.35">
      <c r="A18">
        <f>GEOMEAN(A2:A17)</f>
        <v>52072</v>
      </c>
      <c r="B18">
        <f t="shared" ref="B18:L18" si="0">GEOMEAN(B2:B17)</f>
        <v>1</v>
      </c>
      <c r="C18" s="1">
        <f t="shared" si="0"/>
        <v>1.9146644745710182E-2</v>
      </c>
      <c r="D18" s="1">
        <f t="shared" si="0"/>
        <v>0.1237115527000088</v>
      </c>
      <c r="E18" s="2">
        <f t="shared" si="0"/>
        <v>26.482910824713652</v>
      </c>
      <c r="F18" s="2">
        <f t="shared" si="0"/>
        <v>26.485641141659581</v>
      </c>
      <c r="G18" s="2">
        <f t="shared" si="0"/>
        <v>26.487622680928588</v>
      </c>
      <c r="H18" s="2">
        <f t="shared" si="0"/>
        <v>48.157407901881676</v>
      </c>
      <c r="I18" s="2">
        <f t="shared" si="0"/>
        <v>48.172194720904429</v>
      </c>
      <c r="J18" s="2">
        <f t="shared" si="0"/>
        <v>55.595666559484428</v>
      </c>
      <c r="K18" s="2">
        <f t="shared" si="0"/>
        <v>55.597135521329399</v>
      </c>
      <c r="L18" s="2">
        <f t="shared" si="0"/>
        <v>55.859270513056046</v>
      </c>
      <c r="M18" t="s">
        <v>12</v>
      </c>
    </row>
    <row r="20" spans="1:13" x14ac:dyDescent="0.35">
      <c r="A20">
        <v>52072</v>
      </c>
      <c r="B20">
        <v>2</v>
      </c>
      <c r="C20">
        <v>3.3500000000000002E-2</v>
      </c>
      <c r="D20">
        <v>0.13120000000000001</v>
      </c>
      <c r="E20">
        <v>12.4656</v>
      </c>
      <c r="F20">
        <v>12.4717</v>
      </c>
      <c r="G20">
        <v>12.4739</v>
      </c>
      <c r="H20">
        <v>34.403599999999997</v>
      </c>
      <c r="I20">
        <v>34.418999999999997</v>
      </c>
      <c r="J20">
        <v>37.903599999999997</v>
      </c>
      <c r="K20">
        <v>37.905000000000001</v>
      </c>
      <c r="L20">
        <v>38.176600000000001</v>
      </c>
    </row>
    <row r="21" spans="1:13" x14ac:dyDescent="0.35">
      <c r="A21">
        <v>52072</v>
      </c>
      <c r="B21">
        <v>2</v>
      </c>
      <c r="C21">
        <v>2.4E-2</v>
      </c>
      <c r="D21">
        <v>0.1226</v>
      </c>
      <c r="E21">
        <v>12.214399999999999</v>
      </c>
      <c r="F21">
        <v>14.201599999999999</v>
      </c>
      <c r="G21">
        <v>14.203900000000001</v>
      </c>
      <c r="H21">
        <v>35.937800000000003</v>
      </c>
      <c r="I21">
        <v>35.9527</v>
      </c>
      <c r="J21">
        <v>39.363300000000002</v>
      </c>
      <c r="K21">
        <v>39.977899999999998</v>
      </c>
      <c r="L21">
        <v>40.199399999999997</v>
      </c>
    </row>
    <row r="22" spans="1:13" x14ac:dyDescent="0.35">
      <c r="A22">
        <v>52072</v>
      </c>
      <c r="B22">
        <v>2</v>
      </c>
      <c r="C22">
        <v>3.2000000000000001E-2</v>
      </c>
      <c r="D22">
        <v>0.1305</v>
      </c>
      <c r="E22">
        <v>12.410399999999999</v>
      </c>
      <c r="F22">
        <v>14.422000000000001</v>
      </c>
      <c r="G22">
        <v>14.424300000000001</v>
      </c>
      <c r="H22">
        <v>35.963999999999999</v>
      </c>
      <c r="I22">
        <v>35.978700000000003</v>
      </c>
      <c r="J22">
        <v>39.3874</v>
      </c>
      <c r="K22">
        <v>40.033200000000001</v>
      </c>
      <c r="L22">
        <v>40.366199999999999</v>
      </c>
    </row>
    <row r="23" spans="1:13" x14ac:dyDescent="0.35">
      <c r="A23">
        <v>52072</v>
      </c>
      <c r="B23">
        <v>2</v>
      </c>
      <c r="C23">
        <v>2.3199999999999998E-2</v>
      </c>
      <c r="D23">
        <v>0.1207</v>
      </c>
      <c r="E23">
        <v>12.4268</v>
      </c>
      <c r="F23">
        <v>14.3924</v>
      </c>
      <c r="G23">
        <v>14.394500000000001</v>
      </c>
      <c r="H23">
        <v>36.057200000000002</v>
      </c>
      <c r="I23">
        <v>36.072499999999998</v>
      </c>
      <c r="J23">
        <v>39.548299999999998</v>
      </c>
      <c r="K23">
        <v>40.002400000000002</v>
      </c>
      <c r="L23">
        <v>40.463999999999999</v>
      </c>
    </row>
    <row r="24" spans="1:13" x14ac:dyDescent="0.35">
      <c r="A24">
        <v>52072</v>
      </c>
      <c r="B24">
        <v>2</v>
      </c>
      <c r="C24">
        <v>2.29E-2</v>
      </c>
      <c r="D24">
        <v>0.1196</v>
      </c>
      <c r="E24">
        <v>12.2873</v>
      </c>
      <c r="F24">
        <v>14.4411</v>
      </c>
      <c r="G24">
        <v>14.4435</v>
      </c>
      <c r="H24">
        <v>36.264000000000003</v>
      </c>
      <c r="I24">
        <v>36.279200000000003</v>
      </c>
      <c r="J24">
        <v>39.694899999999997</v>
      </c>
      <c r="K24">
        <v>40.223399999999998</v>
      </c>
      <c r="L24">
        <v>40.595799999999997</v>
      </c>
    </row>
    <row r="25" spans="1:13" x14ac:dyDescent="0.35">
      <c r="A25">
        <v>52072</v>
      </c>
      <c r="B25">
        <v>2</v>
      </c>
      <c r="C25">
        <v>3.32E-2</v>
      </c>
      <c r="D25">
        <v>0.13320000000000001</v>
      </c>
      <c r="E25">
        <v>12.4527</v>
      </c>
      <c r="F25">
        <v>14.4444</v>
      </c>
      <c r="G25">
        <v>14.4466</v>
      </c>
      <c r="H25">
        <v>36.1417</v>
      </c>
      <c r="I25">
        <v>36.157699999999998</v>
      </c>
      <c r="J25">
        <v>39.618400000000001</v>
      </c>
      <c r="K25">
        <v>40.257100000000001</v>
      </c>
      <c r="L25">
        <v>40.567900000000002</v>
      </c>
    </row>
    <row r="26" spans="1:13" x14ac:dyDescent="0.35">
      <c r="A26">
        <v>52072</v>
      </c>
      <c r="B26">
        <v>2</v>
      </c>
      <c r="C26">
        <v>3.1600000000000003E-2</v>
      </c>
      <c r="D26">
        <v>0.12670000000000001</v>
      </c>
      <c r="E26">
        <v>12.228400000000001</v>
      </c>
      <c r="F26">
        <v>14.465</v>
      </c>
      <c r="G26">
        <v>14.4672</v>
      </c>
      <c r="H26">
        <v>35.999699999999997</v>
      </c>
      <c r="I26">
        <v>36.014600000000002</v>
      </c>
      <c r="J26">
        <v>39.399799999999999</v>
      </c>
      <c r="K26">
        <v>40.261200000000002</v>
      </c>
      <c r="L26">
        <v>40.506999999999998</v>
      </c>
    </row>
    <row r="27" spans="1:13" x14ac:dyDescent="0.35">
      <c r="A27">
        <v>52072</v>
      </c>
      <c r="B27">
        <v>2</v>
      </c>
      <c r="C27">
        <v>0.1028</v>
      </c>
      <c r="D27">
        <v>0.2016</v>
      </c>
      <c r="E27">
        <v>12.6305</v>
      </c>
      <c r="F27">
        <v>13.371499999999999</v>
      </c>
      <c r="G27">
        <v>13.373799999999999</v>
      </c>
      <c r="H27">
        <v>35.170499999999997</v>
      </c>
      <c r="I27">
        <v>35.1858</v>
      </c>
      <c r="J27">
        <v>38.649700000000003</v>
      </c>
      <c r="K27">
        <v>38.6509</v>
      </c>
      <c r="L27">
        <v>38.842100000000002</v>
      </c>
    </row>
    <row r="28" spans="1:13" x14ac:dyDescent="0.35">
      <c r="A28">
        <v>52072</v>
      </c>
      <c r="B28">
        <v>2</v>
      </c>
      <c r="C28">
        <v>3.2800000000000003E-2</v>
      </c>
      <c r="D28">
        <v>0.1278</v>
      </c>
      <c r="E28">
        <v>12.2532</v>
      </c>
      <c r="F28">
        <v>14.500299999999999</v>
      </c>
      <c r="G28">
        <v>14.5025</v>
      </c>
      <c r="H28">
        <v>36.229900000000001</v>
      </c>
      <c r="I28">
        <v>36.244799999999998</v>
      </c>
      <c r="J28">
        <v>39.647599999999997</v>
      </c>
      <c r="K28">
        <v>40.368299999999998</v>
      </c>
      <c r="L28">
        <v>40.625999999999998</v>
      </c>
    </row>
    <row r="29" spans="1:13" x14ac:dyDescent="0.35">
      <c r="A29">
        <v>52072</v>
      </c>
      <c r="B29">
        <v>2</v>
      </c>
      <c r="C29">
        <v>3.2800000000000003E-2</v>
      </c>
      <c r="D29">
        <v>0.13039999999999999</v>
      </c>
      <c r="E29">
        <v>12.4917</v>
      </c>
      <c r="F29">
        <v>14.183400000000001</v>
      </c>
      <c r="G29">
        <v>14.185600000000001</v>
      </c>
      <c r="H29">
        <v>35.897300000000001</v>
      </c>
      <c r="I29">
        <v>35.912700000000001</v>
      </c>
      <c r="J29">
        <v>39.403100000000002</v>
      </c>
      <c r="K29">
        <v>39.910200000000003</v>
      </c>
      <c r="L29">
        <v>40.163899999999998</v>
      </c>
    </row>
    <row r="30" spans="1:13" x14ac:dyDescent="0.35">
      <c r="A30">
        <v>52072</v>
      </c>
      <c r="B30">
        <v>2</v>
      </c>
      <c r="C30">
        <v>5.2900000000000003E-2</v>
      </c>
      <c r="D30">
        <v>0.15110000000000001</v>
      </c>
      <c r="E30">
        <v>12.537599999999999</v>
      </c>
      <c r="F30">
        <v>14.4534</v>
      </c>
      <c r="G30">
        <v>14.4556</v>
      </c>
      <c r="H30">
        <v>36.193100000000001</v>
      </c>
      <c r="I30">
        <v>36.208500000000001</v>
      </c>
      <c r="J30">
        <v>39.6982</v>
      </c>
      <c r="K30">
        <v>40.2089</v>
      </c>
      <c r="L30">
        <v>40.449100000000001</v>
      </c>
    </row>
    <row r="31" spans="1:13" x14ac:dyDescent="0.35">
      <c r="A31">
        <v>52072</v>
      </c>
      <c r="B31">
        <v>2</v>
      </c>
      <c r="C31">
        <v>6.2799999999999995E-2</v>
      </c>
      <c r="D31">
        <v>0.16200000000000001</v>
      </c>
      <c r="E31">
        <v>12.2836</v>
      </c>
      <c r="F31">
        <v>14.186400000000001</v>
      </c>
      <c r="G31">
        <v>14.188499999999999</v>
      </c>
      <c r="H31">
        <v>35.839300000000001</v>
      </c>
      <c r="I31">
        <v>35.8538</v>
      </c>
      <c r="J31">
        <v>39.246000000000002</v>
      </c>
      <c r="K31">
        <v>39.7697</v>
      </c>
      <c r="L31">
        <v>40.050600000000003</v>
      </c>
    </row>
    <row r="32" spans="1:13" x14ac:dyDescent="0.35">
      <c r="A32">
        <v>52072</v>
      </c>
      <c r="B32">
        <v>2</v>
      </c>
      <c r="C32">
        <v>4.3200000000000002E-2</v>
      </c>
      <c r="D32">
        <v>0.13869999999999999</v>
      </c>
      <c r="E32">
        <v>12.303800000000001</v>
      </c>
      <c r="F32">
        <v>14.577999999999999</v>
      </c>
      <c r="G32">
        <v>14.580299999999999</v>
      </c>
      <c r="H32">
        <v>36.301400000000001</v>
      </c>
      <c r="I32">
        <v>36.316200000000002</v>
      </c>
      <c r="J32">
        <v>39.704500000000003</v>
      </c>
      <c r="K32">
        <v>40.609099999999998</v>
      </c>
      <c r="L32">
        <v>40.918199999999999</v>
      </c>
    </row>
    <row r="33" spans="1:13" x14ac:dyDescent="0.35">
      <c r="A33">
        <v>52072</v>
      </c>
      <c r="B33">
        <v>2</v>
      </c>
      <c r="C33">
        <v>3.32E-2</v>
      </c>
      <c r="D33">
        <v>0.13370000000000001</v>
      </c>
      <c r="E33">
        <v>12.462</v>
      </c>
      <c r="F33">
        <v>14.5181</v>
      </c>
      <c r="G33">
        <v>14.520300000000001</v>
      </c>
      <c r="H33">
        <v>36.195799999999998</v>
      </c>
      <c r="I33">
        <v>36.211100000000002</v>
      </c>
      <c r="J33">
        <v>39.696300000000001</v>
      </c>
      <c r="K33">
        <v>40.440600000000003</v>
      </c>
      <c r="L33">
        <v>40.767699999999998</v>
      </c>
    </row>
    <row r="34" spans="1:13" x14ac:dyDescent="0.35">
      <c r="A34">
        <f>GEOMEAN(A20:A33)</f>
        <v>52072</v>
      </c>
      <c r="B34">
        <f>GEOMEAN(B20:B33)</f>
        <v>2</v>
      </c>
      <c r="C34" s="1">
        <f t="shared" ref="C34:L34" si="1">GEOMEAN(C20:C33)</f>
        <v>3.6537433968747264E-2</v>
      </c>
      <c r="D34" s="1">
        <f t="shared" si="1"/>
        <v>0.13650411534838305</v>
      </c>
      <c r="E34" s="2">
        <f t="shared" si="1"/>
        <v>12.388533786043382</v>
      </c>
      <c r="F34" s="2">
        <f t="shared" si="1"/>
        <v>14.176175844362795</v>
      </c>
      <c r="G34" s="2">
        <f t="shared" si="1"/>
        <v>14.178406285391207</v>
      </c>
      <c r="H34" s="2">
        <f t="shared" si="1"/>
        <v>35.896165636715295</v>
      </c>
      <c r="I34" s="2">
        <f t="shared" si="1"/>
        <v>35.911310762586034</v>
      </c>
      <c r="J34" s="2">
        <f t="shared" si="1"/>
        <v>39.351332191280754</v>
      </c>
      <c r="K34" s="2">
        <f t="shared" si="1"/>
        <v>39.894814166277115</v>
      </c>
      <c r="L34" s="2">
        <f t="shared" si="1"/>
        <v>40.185626933103691</v>
      </c>
      <c r="M34" t="s">
        <v>12</v>
      </c>
    </row>
    <row r="36" spans="1:13" x14ac:dyDescent="0.35">
      <c r="A36">
        <v>52072</v>
      </c>
      <c r="B36">
        <v>4</v>
      </c>
      <c r="C36">
        <v>3.3399999999999999E-2</v>
      </c>
      <c r="D36">
        <v>0.13289999999999999</v>
      </c>
      <c r="E36">
        <v>4.9984000000000002</v>
      </c>
      <c r="F36">
        <v>8.3752999999999993</v>
      </c>
      <c r="G36">
        <v>8.3777000000000008</v>
      </c>
      <c r="H36">
        <v>30.068999999999999</v>
      </c>
      <c r="I36">
        <v>30.084299999999999</v>
      </c>
      <c r="J36">
        <v>31.375499999999999</v>
      </c>
      <c r="K36">
        <v>32.6511</v>
      </c>
      <c r="L36">
        <v>32.687800000000003</v>
      </c>
    </row>
    <row r="37" spans="1:13" x14ac:dyDescent="0.35">
      <c r="A37">
        <v>52072</v>
      </c>
      <c r="B37">
        <v>4</v>
      </c>
      <c r="C37">
        <v>3.32E-2</v>
      </c>
      <c r="D37">
        <v>0.13220000000000001</v>
      </c>
      <c r="E37">
        <v>4.9808000000000003</v>
      </c>
      <c r="F37">
        <v>8.2790999999999997</v>
      </c>
      <c r="G37">
        <v>8.2812999999999999</v>
      </c>
      <c r="H37">
        <v>29.938400000000001</v>
      </c>
      <c r="I37">
        <v>29.953700000000001</v>
      </c>
      <c r="J37">
        <v>31.241</v>
      </c>
      <c r="K37">
        <v>32.174100000000003</v>
      </c>
      <c r="L37">
        <v>32.216099999999997</v>
      </c>
    </row>
    <row r="38" spans="1:13" x14ac:dyDescent="0.35">
      <c r="A38">
        <v>52072</v>
      </c>
      <c r="B38">
        <v>4</v>
      </c>
      <c r="C38">
        <v>3.2899999999999999E-2</v>
      </c>
      <c r="D38">
        <v>0.13039999999999999</v>
      </c>
      <c r="E38">
        <v>4.9729999999999999</v>
      </c>
      <c r="F38">
        <v>8.2161000000000008</v>
      </c>
      <c r="G38">
        <v>8.2184000000000008</v>
      </c>
      <c r="H38">
        <v>29.894400000000001</v>
      </c>
      <c r="I38">
        <v>29.909800000000001</v>
      </c>
      <c r="J38">
        <v>31.197800000000001</v>
      </c>
      <c r="K38">
        <v>32.262799999999999</v>
      </c>
      <c r="L38">
        <v>32.344900000000003</v>
      </c>
    </row>
    <row r="39" spans="1:13" x14ac:dyDescent="0.35">
      <c r="A39">
        <v>52072</v>
      </c>
      <c r="B39">
        <v>4</v>
      </c>
      <c r="C39">
        <v>2.3099999999999999E-2</v>
      </c>
      <c r="D39">
        <v>0.1186</v>
      </c>
      <c r="E39">
        <v>4.8869999999999996</v>
      </c>
      <c r="F39">
        <v>8.2520000000000007</v>
      </c>
      <c r="G39">
        <v>8.2542000000000009</v>
      </c>
      <c r="H39">
        <v>29.912199999999999</v>
      </c>
      <c r="I39">
        <v>29.9269</v>
      </c>
      <c r="J39">
        <v>31.19</v>
      </c>
      <c r="K39">
        <v>32.194600000000001</v>
      </c>
      <c r="L39">
        <v>32.231900000000003</v>
      </c>
    </row>
    <row r="40" spans="1:13" x14ac:dyDescent="0.35">
      <c r="A40">
        <v>52072</v>
      </c>
      <c r="B40">
        <v>4</v>
      </c>
      <c r="C40">
        <v>2.2700000000000001E-2</v>
      </c>
      <c r="D40">
        <v>0.1181</v>
      </c>
      <c r="E40">
        <v>4.8924000000000003</v>
      </c>
      <c r="F40">
        <v>8.2905999999999995</v>
      </c>
      <c r="G40">
        <v>8.2929999999999993</v>
      </c>
      <c r="H40">
        <v>30.064900000000002</v>
      </c>
      <c r="I40">
        <v>30.08</v>
      </c>
      <c r="J40">
        <v>31.343599999999999</v>
      </c>
      <c r="K40">
        <v>32.223500000000001</v>
      </c>
      <c r="L40">
        <v>32.254300000000001</v>
      </c>
    </row>
    <row r="41" spans="1:13" x14ac:dyDescent="0.35">
      <c r="A41">
        <v>52072</v>
      </c>
      <c r="B41">
        <v>4</v>
      </c>
      <c r="C41">
        <v>2.24E-2</v>
      </c>
      <c r="D41">
        <v>0.12039999999999999</v>
      </c>
      <c r="E41">
        <v>4.9644000000000004</v>
      </c>
      <c r="F41">
        <v>8.2297999999999991</v>
      </c>
      <c r="G41">
        <v>8.2318999999999996</v>
      </c>
      <c r="H41">
        <v>29.875499999999999</v>
      </c>
      <c r="I41">
        <v>29.8902</v>
      </c>
      <c r="J41">
        <v>31.156099999999999</v>
      </c>
      <c r="K41">
        <v>32.066000000000003</v>
      </c>
      <c r="L41">
        <v>32.101599999999998</v>
      </c>
    </row>
    <row r="42" spans="1:13" x14ac:dyDescent="0.35">
      <c r="A42">
        <v>52072</v>
      </c>
      <c r="B42">
        <v>4</v>
      </c>
      <c r="C42">
        <v>4.3700000000000003E-2</v>
      </c>
      <c r="D42">
        <v>0.1444</v>
      </c>
      <c r="E42">
        <v>4.9781000000000004</v>
      </c>
      <c r="F42">
        <v>8.2796000000000003</v>
      </c>
      <c r="G42">
        <v>8.2818000000000005</v>
      </c>
      <c r="H42">
        <v>29.8992</v>
      </c>
      <c r="I42">
        <v>29.913799999999998</v>
      </c>
      <c r="J42">
        <v>31.1647</v>
      </c>
      <c r="K42">
        <v>32.150399999999998</v>
      </c>
      <c r="L42">
        <v>32.209699999999998</v>
      </c>
    </row>
    <row r="43" spans="1:13" x14ac:dyDescent="0.35">
      <c r="A43">
        <v>52072</v>
      </c>
      <c r="B43">
        <v>4</v>
      </c>
      <c r="C43">
        <v>2.3800000000000002E-2</v>
      </c>
      <c r="D43">
        <v>0.1206</v>
      </c>
      <c r="E43">
        <v>4.9051</v>
      </c>
      <c r="F43">
        <v>8.2246000000000006</v>
      </c>
      <c r="G43">
        <v>8.2269000000000005</v>
      </c>
      <c r="H43">
        <v>30.0989</v>
      </c>
      <c r="I43">
        <v>30.114100000000001</v>
      </c>
      <c r="J43">
        <v>31.3858</v>
      </c>
      <c r="K43">
        <v>32.032299999999999</v>
      </c>
      <c r="L43">
        <v>32.0852</v>
      </c>
    </row>
    <row r="44" spans="1:13" x14ac:dyDescent="0.35">
      <c r="A44">
        <v>52072</v>
      </c>
      <c r="B44">
        <v>4</v>
      </c>
      <c r="C44">
        <v>3.3599999999999998E-2</v>
      </c>
      <c r="D44">
        <v>0.13389999999999999</v>
      </c>
      <c r="E44">
        <v>4.9763999999999999</v>
      </c>
      <c r="F44">
        <v>8.2659000000000002</v>
      </c>
      <c r="G44">
        <v>8.2681000000000004</v>
      </c>
      <c r="H44">
        <v>29.9833</v>
      </c>
      <c r="I44">
        <v>29.9986</v>
      </c>
      <c r="J44">
        <v>31.2959</v>
      </c>
      <c r="K44">
        <v>32.110300000000002</v>
      </c>
      <c r="L44">
        <v>32.176600000000001</v>
      </c>
    </row>
    <row r="45" spans="1:13" x14ac:dyDescent="0.35">
      <c r="A45">
        <v>52072</v>
      </c>
      <c r="B45">
        <v>4</v>
      </c>
      <c r="C45">
        <v>2.24E-2</v>
      </c>
      <c r="D45">
        <v>0.1205</v>
      </c>
      <c r="E45">
        <v>4.9817999999999998</v>
      </c>
      <c r="F45">
        <v>8.2774000000000001</v>
      </c>
      <c r="G45">
        <v>8.2797000000000001</v>
      </c>
      <c r="H45">
        <v>30.304400000000001</v>
      </c>
      <c r="I45">
        <v>30.319700000000001</v>
      </c>
      <c r="J45">
        <v>31.614000000000001</v>
      </c>
      <c r="K45">
        <v>32.192399999999999</v>
      </c>
      <c r="L45">
        <v>32.227800000000002</v>
      </c>
    </row>
    <row r="46" spans="1:13" x14ac:dyDescent="0.35">
      <c r="A46">
        <v>52072</v>
      </c>
      <c r="B46">
        <v>4</v>
      </c>
      <c r="C46">
        <v>2.35E-2</v>
      </c>
      <c r="D46">
        <v>0.1217</v>
      </c>
      <c r="E46">
        <v>4.8691000000000004</v>
      </c>
      <c r="F46">
        <v>8.3109999999999999</v>
      </c>
      <c r="G46">
        <v>8.3132000000000001</v>
      </c>
      <c r="H46">
        <v>30.056000000000001</v>
      </c>
      <c r="I46">
        <v>30.071000000000002</v>
      </c>
      <c r="J46">
        <v>31.3308</v>
      </c>
      <c r="K46">
        <v>32.432499999999997</v>
      </c>
      <c r="L46">
        <v>32.484999999999999</v>
      </c>
    </row>
    <row r="47" spans="1:13" x14ac:dyDescent="0.35">
      <c r="A47">
        <v>52072</v>
      </c>
      <c r="B47">
        <v>4</v>
      </c>
      <c r="C47">
        <v>3.2500000000000001E-2</v>
      </c>
      <c r="D47">
        <v>0.13020000000000001</v>
      </c>
      <c r="E47">
        <v>4.9820000000000002</v>
      </c>
      <c r="F47">
        <v>8.3231999999999999</v>
      </c>
      <c r="G47">
        <v>8.3254000000000001</v>
      </c>
      <c r="H47">
        <v>30.281500000000001</v>
      </c>
      <c r="I47">
        <v>30.296700000000001</v>
      </c>
      <c r="J47">
        <v>31.585799999999999</v>
      </c>
      <c r="K47">
        <v>32.442300000000003</v>
      </c>
      <c r="L47">
        <v>32.523099999999999</v>
      </c>
    </row>
    <row r="48" spans="1:13" x14ac:dyDescent="0.35">
      <c r="A48">
        <f>GEOMEAN(A36:A47)</f>
        <v>52072</v>
      </c>
      <c r="B48">
        <f t="shared" ref="B48:L48" si="2">GEOMEAN(B36:B47)</f>
        <v>4</v>
      </c>
      <c r="C48" s="1">
        <f t="shared" si="2"/>
        <v>2.8230177017858449E-2</v>
      </c>
      <c r="D48" s="1">
        <f t="shared" si="2"/>
        <v>0.12675494146369384</v>
      </c>
      <c r="E48" s="2">
        <f t="shared" si="2"/>
        <v>4.9488439386400556</v>
      </c>
      <c r="F48" s="2">
        <f t="shared" si="2"/>
        <v>8.2769365686774226</v>
      </c>
      <c r="G48" s="2">
        <f t="shared" si="2"/>
        <v>8.2791864416755665</v>
      </c>
      <c r="H48" s="2">
        <f t="shared" si="2"/>
        <v>30.031155964501359</v>
      </c>
      <c r="I48" s="2">
        <f t="shared" si="2"/>
        <v>30.046247240676717</v>
      </c>
      <c r="J48" s="2">
        <f t="shared" si="2"/>
        <v>31.323078733216921</v>
      </c>
      <c r="K48" s="2">
        <f t="shared" si="2"/>
        <v>32.243901919495826</v>
      </c>
      <c r="L48" s="2">
        <f t="shared" si="2"/>
        <v>32.294865266287452</v>
      </c>
      <c r="M48" t="s">
        <v>12</v>
      </c>
    </row>
    <row r="50" spans="1:12" x14ac:dyDescent="0.35">
      <c r="A50">
        <v>52072</v>
      </c>
      <c r="B50">
        <v>8</v>
      </c>
      <c r="C50">
        <v>3.8199999999999998E-2</v>
      </c>
      <c r="D50">
        <v>0.13850000000000001</v>
      </c>
      <c r="E50">
        <v>2.3569</v>
      </c>
      <c r="F50">
        <v>4.4097999999999997</v>
      </c>
      <c r="G50">
        <v>4.4123000000000001</v>
      </c>
      <c r="H50">
        <v>26.108000000000001</v>
      </c>
      <c r="I50">
        <v>26.123200000000001</v>
      </c>
      <c r="J50">
        <v>26.6982</v>
      </c>
      <c r="K50">
        <v>28.337399999999999</v>
      </c>
      <c r="L50">
        <v>28.469100000000001</v>
      </c>
    </row>
    <row r="51" spans="1:12" x14ac:dyDescent="0.35">
      <c r="A51">
        <v>52072</v>
      </c>
      <c r="B51">
        <v>8</v>
      </c>
      <c r="C51">
        <v>6.7900000000000002E-2</v>
      </c>
      <c r="D51">
        <v>0.1648</v>
      </c>
      <c r="E51">
        <v>2.3632</v>
      </c>
      <c r="F51">
        <v>3.9866999999999999</v>
      </c>
      <c r="G51">
        <v>3.9889999999999999</v>
      </c>
      <c r="H51">
        <v>25.731400000000001</v>
      </c>
      <c r="I51">
        <v>25.746600000000001</v>
      </c>
      <c r="J51">
        <v>26.312000000000001</v>
      </c>
      <c r="K51">
        <v>26.3126</v>
      </c>
      <c r="L51">
        <v>26.347200000000001</v>
      </c>
    </row>
    <row r="52" spans="1:12" x14ac:dyDescent="0.35">
      <c r="A52">
        <v>52072</v>
      </c>
      <c r="B52">
        <v>8</v>
      </c>
      <c r="C52">
        <v>3.6799999999999999E-2</v>
      </c>
      <c r="D52">
        <v>0.13489999999999999</v>
      </c>
      <c r="E52">
        <v>2.3662000000000001</v>
      </c>
      <c r="F52">
        <v>4.3642000000000003</v>
      </c>
      <c r="G52">
        <v>4.3665000000000003</v>
      </c>
      <c r="H52">
        <v>26.1252</v>
      </c>
      <c r="I52">
        <v>26.140699999999999</v>
      </c>
      <c r="J52">
        <v>26.718599999999999</v>
      </c>
      <c r="K52">
        <v>27.976600000000001</v>
      </c>
      <c r="L52">
        <v>28.039100000000001</v>
      </c>
    </row>
    <row r="53" spans="1:12" x14ac:dyDescent="0.35">
      <c r="A53">
        <v>52072</v>
      </c>
      <c r="B53">
        <v>8</v>
      </c>
      <c r="C53">
        <v>3.7600000000000001E-2</v>
      </c>
      <c r="D53">
        <v>0.1376</v>
      </c>
      <c r="E53">
        <v>2.3626999999999998</v>
      </c>
      <c r="F53">
        <v>4.4234999999999998</v>
      </c>
      <c r="G53">
        <v>4.4259000000000004</v>
      </c>
      <c r="H53">
        <v>26.146100000000001</v>
      </c>
      <c r="I53">
        <v>26.1615</v>
      </c>
      <c r="J53">
        <v>26.736000000000001</v>
      </c>
      <c r="K53">
        <v>28.427499999999998</v>
      </c>
      <c r="L53">
        <v>28.474</v>
      </c>
    </row>
    <row r="54" spans="1:12" x14ac:dyDescent="0.35">
      <c r="A54">
        <v>52072</v>
      </c>
      <c r="B54">
        <v>8</v>
      </c>
      <c r="C54">
        <v>3.8300000000000001E-2</v>
      </c>
      <c r="D54">
        <v>0.13669999999999999</v>
      </c>
      <c r="E54">
        <v>2.3153999999999999</v>
      </c>
      <c r="F54">
        <v>4.4284999999999997</v>
      </c>
      <c r="G54">
        <v>4.4307999999999996</v>
      </c>
      <c r="H54">
        <v>26.1614</v>
      </c>
      <c r="I54">
        <v>26.176300000000001</v>
      </c>
      <c r="J54">
        <v>26.736699999999999</v>
      </c>
      <c r="K54">
        <v>28.05</v>
      </c>
      <c r="L54">
        <v>28.206</v>
      </c>
    </row>
    <row r="55" spans="1:12" x14ac:dyDescent="0.35">
      <c r="A55">
        <v>52072</v>
      </c>
      <c r="B55">
        <v>8</v>
      </c>
      <c r="C55">
        <v>2.63E-2</v>
      </c>
      <c r="D55">
        <v>0.12180000000000001</v>
      </c>
      <c r="E55">
        <v>2.3117999999999999</v>
      </c>
      <c r="F55">
        <v>4.3573000000000004</v>
      </c>
      <c r="G55">
        <v>4.3596000000000004</v>
      </c>
      <c r="H55">
        <v>26.125499999999999</v>
      </c>
      <c r="I55">
        <v>26.140499999999999</v>
      </c>
      <c r="J55">
        <v>26.701699999999999</v>
      </c>
      <c r="K55">
        <v>27.694900000000001</v>
      </c>
      <c r="L55">
        <v>27.756499999999999</v>
      </c>
    </row>
    <row r="56" spans="1:12" x14ac:dyDescent="0.35">
      <c r="A56">
        <v>52072</v>
      </c>
      <c r="B56">
        <v>8</v>
      </c>
      <c r="C56">
        <v>3.7100000000000001E-2</v>
      </c>
      <c r="D56">
        <v>0.13589999999999999</v>
      </c>
      <c r="E56">
        <v>2.3708999999999998</v>
      </c>
      <c r="F56">
        <v>4.2903000000000002</v>
      </c>
      <c r="G56">
        <v>4.2927</v>
      </c>
      <c r="H56">
        <v>26.1736</v>
      </c>
      <c r="I56">
        <v>26.188500000000001</v>
      </c>
      <c r="J56">
        <v>26.7578</v>
      </c>
      <c r="K56">
        <v>27.491499999999998</v>
      </c>
      <c r="L56">
        <v>27.6038</v>
      </c>
    </row>
    <row r="57" spans="1:12" x14ac:dyDescent="0.35">
      <c r="A57">
        <v>52072</v>
      </c>
      <c r="B57">
        <v>8</v>
      </c>
      <c r="C57">
        <v>4.8300000000000003E-2</v>
      </c>
      <c r="D57">
        <v>0.1464</v>
      </c>
      <c r="E57">
        <v>2.3264999999999998</v>
      </c>
      <c r="F57">
        <v>4.4199000000000002</v>
      </c>
      <c r="G57">
        <v>4.4222000000000001</v>
      </c>
      <c r="H57">
        <v>26.0273</v>
      </c>
      <c r="I57">
        <v>26.042100000000001</v>
      </c>
      <c r="J57">
        <v>26.597300000000001</v>
      </c>
      <c r="K57">
        <v>28.285599999999999</v>
      </c>
      <c r="L57">
        <v>28.3811</v>
      </c>
    </row>
    <row r="58" spans="1:12" x14ac:dyDescent="0.35">
      <c r="A58">
        <v>52072</v>
      </c>
      <c r="B58">
        <v>8</v>
      </c>
      <c r="C58">
        <v>2.6599999999999999E-2</v>
      </c>
      <c r="D58">
        <v>0.12470000000000001</v>
      </c>
      <c r="E58">
        <v>2.3567</v>
      </c>
      <c r="F58">
        <v>4.3484999999999996</v>
      </c>
      <c r="G58">
        <v>4.3509000000000002</v>
      </c>
      <c r="H58">
        <v>26.133500000000002</v>
      </c>
      <c r="I58">
        <v>26.149000000000001</v>
      </c>
      <c r="J58">
        <v>26.725999999999999</v>
      </c>
      <c r="K58">
        <v>27.761600000000001</v>
      </c>
      <c r="L58">
        <v>27.864799999999999</v>
      </c>
    </row>
    <row r="59" spans="1:12" x14ac:dyDescent="0.35">
      <c r="A59">
        <v>52072</v>
      </c>
      <c r="B59">
        <v>8</v>
      </c>
      <c r="C59">
        <v>3.7900000000000003E-2</v>
      </c>
      <c r="D59">
        <v>0.13600000000000001</v>
      </c>
      <c r="E59">
        <v>2.3186</v>
      </c>
      <c r="F59">
        <v>4.3672000000000004</v>
      </c>
      <c r="G59">
        <v>4.3693999999999997</v>
      </c>
      <c r="H59">
        <v>26.0776</v>
      </c>
      <c r="I59">
        <v>26.092700000000001</v>
      </c>
      <c r="J59">
        <v>26.6538</v>
      </c>
      <c r="K59">
        <v>28.232700000000001</v>
      </c>
      <c r="L59">
        <v>28.341200000000001</v>
      </c>
    </row>
    <row r="60" spans="1:12" x14ac:dyDescent="0.35">
      <c r="A60">
        <v>52072</v>
      </c>
      <c r="B60">
        <v>8</v>
      </c>
      <c r="C60">
        <v>3.7900000000000003E-2</v>
      </c>
      <c r="D60">
        <v>0.13619999999999999</v>
      </c>
      <c r="E60">
        <v>2.3803999999999998</v>
      </c>
      <c r="F60">
        <v>4.3994</v>
      </c>
      <c r="G60">
        <v>4.4016999999999999</v>
      </c>
      <c r="H60">
        <v>26.2151</v>
      </c>
      <c r="I60">
        <v>26.230499999999999</v>
      </c>
      <c r="J60">
        <v>26.8095</v>
      </c>
      <c r="K60">
        <v>27.7166</v>
      </c>
      <c r="L60">
        <v>27.7882</v>
      </c>
    </row>
    <row r="61" spans="1:12" x14ac:dyDescent="0.35">
      <c r="A61">
        <v>52072</v>
      </c>
      <c r="B61">
        <v>8</v>
      </c>
      <c r="C61">
        <v>3.7699999999999997E-2</v>
      </c>
      <c r="D61">
        <v>0.1328</v>
      </c>
      <c r="E61">
        <v>2.3224</v>
      </c>
      <c r="F61">
        <v>4.4340000000000002</v>
      </c>
      <c r="G61">
        <v>4.4362000000000004</v>
      </c>
      <c r="H61">
        <v>26.1861</v>
      </c>
      <c r="I61">
        <v>26.201000000000001</v>
      </c>
      <c r="J61">
        <v>26.761800000000001</v>
      </c>
      <c r="K61">
        <v>28.139199999999999</v>
      </c>
      <c r="L61">
        <v>28.212499999999999</v>
      </c>
    </row>
    <row r="62" spans="1:12" x14ac:dyDescent="0.35">
      <c r="A62">
        <v>52072</v>
      </c>
      <c r="B62">
        <v>8</v>
      </c>
      <c r="C62">
        <v>2.7300000000000001E-2</v>
      </c>
      <c r="D62">
        <v>0.1227</v>
      </c>
      <c r="E62">
        <v>2.3090000000000002</v>
      </c>
      <c r="F62">
        <v>4.3246000000000002</v>
      </c>
      <c r="G62">
        <v>4.3268000000000004</v>
      </c>
      <c r="H62">
        <v>26.1249</v>
      </c>
      <c r="I62">
        <v>26.14</v>
      </c>
      <c r="J62">
        <v>26.700900000000001</v>
      </c>
      <c r="K62">
        <v>27.8582</v>
      </c>
      <c r="L62">
        <v>28.026599999999998</v>
      </c>
    </row>
    <row r="63" spans="1:12" x14ac:dyDescent="0.35">
      <c r="A63">
        <v>52072</v>
      </c>
      <c r="B63">
        <v>8</v>
      </c>
      <c r="C63">
        <v>3.7699999999999997E-2</v>
      </c>
      <c r="D63">
        <v>0.13589999999999999</v>
      </c>
      <c r="E63">
        <v>2.3220999999999998</v>
      </c>
      <c r="F63">
        <v>4.3869999999999996</v>
      </c>
      <c r="G63">
        <v>4.3893000000000004</v>
      </c>
      <c r="H63">
        <v>26.123699999999999</v>
      </c>
      <c r="I63">
        <v>26.1386</v>
      </c>
      <c r="J63">
        <v>26.699300000000001</v>
      </c>
      <c r="K63">
        <v>27.839099999999998</v>
      </c>
      <c r="L63">
        <v>28.089600000000001</v>
      </c>
    </row>
    <row r="64" spans="1:12" x14ac:dyDescent="0.35">
      <c r="A64">
        <v>52072</v>
      </c>
      <c r="B64">
        <v>8</v>
      </c>
      <c r="C64">
        <v>3.7600000000000001E-2</v>
      </c>
      <c r="D64">
        <v>0.13370000000000001</v>
      </c>
      <c r="E64">
        <v>2.3275999999999999</v>
      </c>
      <c r="F64">
        <v>4.3630000000000004</v>
      </c>
      <c r="G64">
        <v>4.3651999999999997</v>
      </c>
      <c r="H64">
        <v>26.148099999999999</v>
      </c>
      <c r="I64">
        <v>26.163</v>
      </c>
      <c r="J64">
        <v>26.727</v>
      </c>
      <c r="K64">
        <v>27.995799999999999</v>
      </c>
      <c r="L64">
        <v>28.043900000000001</v>
      </c>
    </row>
    <row r="65" spans="1:13" x14ac:dyDescent="0.35">
      <c r="A65">
        <v>52072</v>
      </c>
      <c r="B65">
        <v>8</v>
      </c>
      <c r="C65">
        <v>3.8300000000000001E-2</v>
      </c>
      <c r="D65">
        <v>0.13600000000000001</v>
      </c>
      <c r="E65">
        <v>2.3184999999999998</v>
      </c>
      <c r="F65">
        <v>4.4059999999999997</v>
      </c>
      <c r="G65">
        <v>4.4082999999999997</v>
      </c>
      <c r="H65">
        <v>26.077300000000001</v>
      </c>
      <c r="I65">
        <v>26.091899999999999</v>
      </c>
      <c r="J65">
        <v>26.652200000000001</v>
      </c>
      <c r="K65">
        <v>28.299900000000001</v>
      </c>
      <c r="L65">
        <v>28.4559</v>
      </c>
    </row>
    <row r="66" spans="1:13" x14ac:dyDescent="0.35">
      <c r="A66">
        <f>GEOMEAN(A50:A65)</f>
        <v>52072</v>
      </c>
      <c r="B66">
        <f t="shared" ref="B66:L66" si="3">GEOMEAN(B50:B65)</f>
        <v>8</v>
      </c>
      <c r="C66" s="1">
        <f t="shared" si="3"/>
        <v>3.7265098556034167E-2</v>
      </c>
      <c r="D66" s="1">
        <f t="shared" si="3"/>
        <v>0.13559167829100058</v>
      </c>
      <c r="E66" s="2">
        <f t="shared" si="3"/>
        <v>2.339184501583683</v>
      </c>
      <c r="F66" s="2">
        <f t="shared" si="3"/>
        <v>4.3555902810918576</v>
      </c>
      <c r="G66" s="2">
        <f t="shared" si="3"/>
        <v>4.3578971860665874</v>
      </c>
      <c r="H66" s="2">
        <f t="shared" si="3"/>
        <v>26.105083381955623</v>
      </c>
      <c r="I66" s="2">
        <f t="shared" si="3"/>
        <v>26.120164735688583</v>
      </c>
      <c r="J66" s="2">
        <f t="shared" si="3"/>
        <v>26.686580384096313</v>
      </c>
      <c r="K66" s="2">
        <f t="shared" si="3"/>
        <v>27.896873370832299</v>
      </c>
      <c r="L66" s="2">
        <f t="shared" si="3"/>
        <v>28.001609492982311</v>
      </c>
      <c r="M66" t="s">
        <v>12</v>
      </c>
    </row>
    <row r="68" spans="1:13" x14ac:dyDescent="0.35">
      <c r="A68">
        <v>52072</v>
      </c>
      <c r="B68">
        <v>16</v>
      </c>
      <c r="C68">
        <v>1.84E-2</v>
      </c>
      <c r="D68">
        <v>0.11310000000000001</v>
      </c>
      <c r="E68">
        <v>0.83630000000000004</v>
      </c>
      <c r="F68">
        <v>2.3812000000000002</v>
      </c>
      <c r="G68">
        <v>2.3835000000000002</v>
      </c>
      <c r="H68">
        <v>24.084</v>
      </c>
      <c r="I68">
        <v>24.098700000000001</v>
      </c>
      <c r="J68">
        <v>24.277699999999999</v>
      </c>
      <c r="K68">
        <v>26.3064</v>
      </c>
      <c r="L68">
        <v>26.4176</v>
      </c>
    </row>
    <row r="69" spans="1:13" x14ac:dyDescent="0.35">
      <c r="A69">
        <v>52072</v>
      </c>
      <c r="B69">
        <v>16</v>
      </c>
      <c r="C69">
        <v>1.8100000000000002E-2</v>
      </c>
      <c r="D69">
        <v>0.11559999999999999</v>
      </c>
      <c r="E69">
        <v>0.84850000000000003</v>
      </c>
      <c r="F69">
        <v>2.3809</v>
      </c>
      <c r="G69">
        <v>2.3837000000000002</v>
      </c>
      <c r="H69">
        <v>24.0733</v>
      </c>
      <c r="I69">
        <v>24.088799999999999</v>
      </c>
      <c r="J69">
        <v>24.272300000000001</v>
      </c>
      <c r="K69">
        <v>26.506</v>
      </c>
      <c r="L69">
        <v>26.5594</v>
      </c>
    </row>
    <row r="70" spans="1:13" x14ac:dyDescent="0.35">
      <c r="A70">
        <v>52072</v>
      </c>
      <c r="B70">
        <v>16</v>
      </c>
      <c r="C70">
        <v>1.78E-2</v>
      </c>
      <c r="D70">
        <v>0.11260000000000001</v>
      </c>
      <c r="E70">
        <v>0.83560000000000001</v>
      </c>
      <c r="F70">
        <v>2.3439000000000001</v>
      </c>
      <c r="G70">
        <v>2.3462000000000001</v>
      </c>
      <c r="H70">
        <v>24.033200000000001</v>
      </c>
      <c r="I70">
        <v>24.048200000000001</v>
      </c>
      <c r="J70">
        <v>24.227499999999999</v>
      </c>
      <c r="K70">
        <v>26.291899999999998</v>
      </c>
      <c r="L70">
        <v>26.337299999999999</v>
      </c>
    </row>
    <row r="71" spans="1:13" x14ac:dyDescent="0.35">
      <c r="A71">
        <v>52072</v>
      </c>
      <c r="B71">
        <v>16</v>
      </c>
      <c r="C71">
        <v>3.8100000000000002E-2</v>
      </c>
      <c r="D71">
        <v>0.13289999999999999</v>
      </c>
      <c r="E71">
        <v>0.85529999999999995</v>
      </c>
      <c r="F71">
        <v>2.3872</v>
      </c>
      <c r="G71">
        <v>2.3896000000000002</v>
      </c>
      <c r="H71">
        <v>24.1355</v>
      </c>
      <c r="I71">
        <v>24.150500000000001</v>
      </c>
      <c r="J71">
        <v>24.332000000000001</v>
      </c>
      <c r="K71">
        <v>26.566099999999999</v>
      </c>
      <c r="L71">
        <v>26.626100000000001</v>
      </c>
    </row>
    <row r="72" spans="1:13" x14ac:dyDescent="0.35">
      <c r="A72">
        <v>52072</v>
      </c>
      <c r="B72">
        <v>16</v>
      </c>
      <c r="C72">
        <v>1.77E-2</v>
      </c>
      <c r="D72">
        <v>0.1148</v>
      </c>
      <c r="E72">
        <v>0.85040000000000004</v>
      </c>
      <c r="F72">
        <v>2.3353999999999999</v>
      </c>
      <c r="G72">
        <v>2.3380000000000001</v>
      </c>
      <c r="H72">
        <v>24.195499999999999</v>
      </c>
      <c r="I72">
        <v>24.21</v>
      </c>
      <c r="J72">
        <v>24.387799999999999</v>
      </c>
      <c r="K72">
        <v>26.313500000000001</v>
      </c>
      <c r="L72">
        <v>26.366499999999998</v>
      </c>
    </row>
    <row r="73" spans="1:13" x14ac:dyDescent="0.35">
      <c r="A73">
        <v>52072</v>
      </c>
      <c r="B73">
        <v>16</v>
      </c>
      <c r="C73">
        <v>1.78E-2</v>
      </c>
      <c r="D73">
        <v>0.1129</v>
      </c>
      <c r="E73">
        <v>0.83560000000000001</v>
      </c>
      <c r="F73">
        <v>2.3824000000000001</v>
      </c>
      <c r="G73">
        <v>2.3847999999999998</v>
      </c>
      <c r="H73">
        <v>23.9407</v>
      </c>
      <c r="I73">
        <v>23.9557</v>
      </c>
      <c r="J73">
        <v>24.137499999999999</v>
      </c>
      <c r="K73">
        <v>26.511700000000001</v>
      </c>
      <c r="L73">
        <v>26.571400000000001</v>
      </c>
    </row>
    <row r="74" spans="1:13" x14ac:dyDescent="0.35">
      <c r="A74">
        <v>52072</v>
      </c>
      <c r="B74">
        <v>16</v>
      </c>
      <c r="C74">
        <v>2.81E-2</v>
      </c>
      <c r="D74">
        <v>0.125</v>
      </c>
      <c r="E74">
        <v>0.86219999999999997</v>
      </c>
      <c r="F74">
        <v>2.3491</v>
      </c>
      <c r="G74">
        <v>2.3517999999999999</v>
      </c>
      <c r="H74">
        <v>24.049600000000002</v>
      </c>
      <c r="I74">
        <v>24.064499999999999</v>
      </c>
      <c r="J74">
        <v>24.245999999999999</v>
      </c>
      <c r="K74">
        <v>26.228999999999999</v>
      </c>
      <c r="L74">
        <v>26.277899999999999</v>
      </c>
    </row>
    <row r="75" spans="1:13" x14ac:dyDescent="0.35">
      <c r="A75">
        <v>52072</v>
      </c>
      <c r="B75">
        <v>16</v>
      </c>
      <c r="C75">
        <v>1.77E-2</v>
      </c>
      <c r="D75">
        <v>0.11509999999999999</v>
      </c>
      <c r="E75">
        <v>0.84919999999999995</v>
      </c>
      <c r="F75">
        <v>2.3782000000000001</v>
      </c>
      <c r="G75">
        <v>2.3805999999999998</v>
      </c>
      <c r="H75">
        <v>24.291599999999999</v>
      </c>
      <c r="I75">
        <v>24.306799999999999</v>
      </c>
      <c r="J75">
        <v>24.490200000000002</v>
      </c>
      <c r="K75">
        <v>26.513400000000001</v>
      </c>
      <c r="L75">
        <v>26.594999999999999</v>
      </c>
    </row>
    <row r="76" spans="1:13" x14ac:dyDescent="0.35">
      <c r="A76">
        <v>52072</v>
      </c>
      <c r="B76">
        <v>16</v>
      </c>
      <c r="C76">
        <v>1.8200000000000001E-2</v>
      </c>
      <c r="D76">
        <v>0.1132</v>
      </c>
      <c r="E76">
        <v>0.83579999999999999</v>
      </c>
      <c r="F76">
        <v>2.3626999999999998</v>
      </c>
      <c r="G76">
        <v>2.3654000000000002</v>
      </c>
      <c r="H76">
        <v>24.0626</v>
      </c>
      <c r="I76">
        <v>24.077200000000001</v>
      </c>
      <c r="J76">
        <v>24.2559</v>
      </c>
      <c r="K76">
        <v>26.4405</v>
      </c>
      <c r="L76">
        <v>26.487400000000001</v>
      </c>
    </row>
    <row r="77" spans="1:13" x14ac:dyDescent="0.35">
      <c r="A77">
        <v>52072</v>
      </c>
      <c r="B77">
        <v>16</v>
      </c>
      <c r="C77">
        <v>1.84E-2</v>
      </c>
      <c r="D77">
        <v>0.11559999999999999</v>
      </c>
      <c r="E77">
        <v>0.85050000000000003</v>
      </c>
      <c r="F77">
        <v>2.3506999999999998</v>
      </c>
      <c r="G77">
        <v>2.3530000000000002</v>
      </c>
      <c r="H77">
        <v>24.026399999999999</v>
      </c>
      <c r="I77">
        <v>24.041699999999999</v>
      </c>
      <c r="J77">
        <v>24.225000000000001</v>
      </c>
      <c r="K77">
        <v>26.4876</v>
      </c>
      <c r="L77">
        <v>26.594200000000001</v>
      </c>
    </row>
    <row r="78" spans="1:13" x14ac:dyDescent="0.35">
      <c r="A78">
        <v>52072</v>
      </c>
      <c r="B78">
        <v>16</v>
      </c>
      <c r="C78">
        <v>0.05</v>
      </c>
      <c r="D78">
        <v>0.15040000000000001</v>
      </c>
      <c r="E78">
        <v>0.88980000000000004</v>
      </c>
      <c r="F78">
        <v>2.3774999999999999</v>
      </c>
      <c r="G78">
        <v>2.3799000000000001</v>
      </c>
      <c r="H78">
        <v>24.408999999999999</v>
      </c>
      <c r="I78">
        <v>24.424800000000001</v>
      </c>
      <c r="J78">
        <v>24.6143</v>
      </c>
      <c r="K78">
        <v>26.504000000000001</v>
      </c>
      <c r="L78">
        <v>26.734999999999999</v>
      </c>
    </row>
    <row r="79" spans="1:13" x14ac:dyDescent="0.35">
      <c r="A79">
        <v>52072</v>
      </c>
      <c r="B79">
        <v>16</v>
      </c>
      <c r="C79">
        <v>1.9599999999999999E-2</v>
      </c>
      <c r="D79">
        <v>0.1167</v>
      </c>
      <c r="E79">
        <v>0.8508</v>
      </c>
      <c r="F79">
        <v>2.3656000000000001</v>
      </c>
      <c r="G79">
        <v>2.3679000000000001</v>
      </c>
      <c r="H79">
        <v>24.0398</v>
      </c>
      <c r="I79">
        <v>24.054600000000001</v>
      </c>
      <c r="J79">
        <v>24.235099999999999</v>
      </c>
      <c r="K79">
        <v>26.429099999999998</v>
      </c>
      <c r="L79">
        <v>26.4848</v>
      </c>
    </row>
    <row r="80" spans="1:13" x14ac:dyDescent="0.35">
      <c r="A80">
        <v>52072</v>
      </c>
      <c r="B80">
        <v>16</v>
      </c>
      <c r="C80">
        <v>3.9399999999999998E-2</v>
      </c>
      <c r="D80">
        <v>0.1414</v>
      </c>
      <c r="E80">
        <v>0.87870000000000004</v>
      </c>
      <c r="F80">
        <v>2.3853</v>
      </c>
      <c r="G80">
        <v>2.3883999999999999</v>
      </c>
      <c r="H80">
        <v>24.242100000000001</v>
      </c>
      <c r="I80">
        <v>24.256900000000002</v>
      </c>
      <c r="J80">
        <v>24.440200000000001</v>
      </c>
      <c r="K80">
        <v>26.478200000000001</v>
      </c>
      <c r="L80">
        <v>26.589400000000001</v>
      </c>
    </row>
    <row r="81" spans="1:13" x14ac:dyDescent="0.35">
      <c r="A81">
        <v>52072</v>
      </c>
      <c r="B81">
        <v>16</v>
      </c>
      <c r="C81">
        <v>1.77E-2</v>
      </c>
      <c r="D81">
        <v>0.115</v>
      </c>
      <c r="E81">
        <v>0.84970000000000001</v>
      </c>
      <c r="F81">
        <v>2.3683000000000001</v>
      </c>
      <c r="G81">
        <v>2.3706999999999998</v>
      </c>
      <c r="H81">
        <v>24.275500000000001</v>
      </c>
      <c r="I81">
        <v>24.291899999999998</v>
      </c>
      <c r="J81">
        <v>24.477900000000002</v>
      </c>
      <c r="K81">
        <v>26.447299999999998</v>
      </c>
      <c r="L81">
        <v>26.498200000000001</v>
      </c>
    </row>
    <row r="82" spans="1:13" x14ac:dyDescent="0.35">
      <c r="A82">
        <v>52072</v>
      </c>
      <c r="B82">
        <v>16</v>
      </c>
      <c r="C82">
        <v>1.84E-2</v>
      </c>
      <c r="D82">
        <v>0.1134</v>
      </c>
      <c r="E82">
        <v>0.83630000000000004</v>
      </c>
      <c r="F82">
        <v>2.3832</v>
      </c>
      <c r="G82">
        <v>2.3856000000000002</v>
      </c>
      <c r="H82">
        <v>23.9314</v>
      </c>
      <c r="I82">
        <v>23.946000000000002</v>
      </c>
      <c r="J82">
        <v>24.126000000000001</v>
      </c>
      <c r="K82">
        <v>26.354800000000001</v>
      </c>
      <c r="L82">
        <v>26.490200000000002</v>
      </c>
    </row>
    <row r="83" spans="1:13" x14ac:dyDescent="0.35">
      <c r="A83">
        <v>52072</v>
      </c>
      <c r="B83">
        <v>16</v>
      </c>
      <c r="C83">
        <v>2.9700000000000001E-2</v>
      </c>
      <c r="D83">
        <v>0.12720000000000001</v>
      </c>
      <c r="E83">
        <v>0.85629999999999995</v>
      </c>
      <c r="F83">
        <v>2.3877000000000002</v>
      </c>
      <c r="G83">
        <v>2.3902000000000001</v>
      </c>
      <c r="H83">
        <v>24.364699999999999</v>
      </c>
      <c r="I83">
        <v>24.379899999999999</v>
      </c>
      <c r="J83">
        <v>24.561599999999999</v>
      </c>
      <c r="K83">
        <v>26.4955</v>
      </c>
      <c r="L83">
        <v>26.607700000000001</v>
      </c>
    </row>
    <row r="84" spans="1:13" x14ac:dyDescent="0.35">
      <c r="A84">
        <v>52072</v>
      </c>
      <c r="B84">
        <v>16</v>
      </c>
      <c r="C84">
        <v>2.8799999999999999E-2</v>
      </c>
      <c r="D84">
        <v>0.12659999999999999</v>
      </c>
      <c r="E84">
        <v>0.85950000000000004</v>
      </c>
      <c r="F84">
        <v>2.3896999999999999</v>
      </c>
      <c r="G84">
        <v>2.3921000000000001</v>
      </c>
      <c r="H84">
        <v>24.0886</v>
      </c>
      <c r="I84">
        <v>24.103999999999999</v>
      </c>
      <c r="J84">
        <v>24.289000000000001</v>
      </c>
      <c r="K84">
        <v>26.496200000000002</v>
      </c>
      <c r="L84">
        <v>26.7163</v>
      </c>
    </row>
    <row r="85" spans="1:13" x14ac:dyDescent="0.35">
      <c r="A85">
        <f>GEOMEAN(A68:A84)</f>
        <v>52072</v>
      </c>
      <c r="B85">
        <f t="shared" ref="B85:L85" si="4">GEOMEAN(B68:B84)</f>
        <v>16</v>
      </c>
      <c r="C85" s="1">
        <f t="shared" si="4"/>
        <v>2.2863622718517346E-2</v>
      </c>
      <c r="D85" s="1">
        <f t="shared" si="4"/>
        <v>0.12081261844564291</v>
      </c>
      <c r="E85" s="2">
        <f t="shared" si="4"/>
        <v>0.85166934541303396</v>
      </c>
      <c r="F85" s="2">
        <f t="shared" si="4"/>
        <v>2.3710595130610139</v>
      </c>
      <c r="G85" s="2">
        <f t="shared" si="4"/>
        <v>2.3735535956354248</v>
      </c>
      <c r="H85" s="2">
        <f t="shared" si="4"/>
        <v>24.131583054914159</v>
      </c>
      <c r="I85" s="2">
        <f t="shared" si="4"/>
        <v>24.146682035948313</v>
      </c>
      <c r="J85" s="2">
        <f t="shared" si="4"/>
        <v>24.328781994022155</v>
      </c>
      <c r="K85" s="2">
        <f t="shared" si="4"/>
        <v>26.43343069298329</v>
      </c>
      <c r="L85" s="2">
        <f t="shared" si="4"/>
        <v>26.526448865959907</v>
      </c>
      <c r="M85" t="s">
        <v>12</v>
      </c>
    </row>
    <row r="87" spans="1:13" x14ac:dyDescent="0.35">
      <c r="A87">
        <v>52072</v>
      </c>
      <c r="B87">
        <v>32</v>
      </c>
      <c r="C87">
        <v>3.73E-2</v>
      </c>
      <c r="D87">
        <v>0.13439999999999999</v>
      </c>
      <c r="E87">
        <v>0.48459999999999998</v>
      </c>
      <c r="F87">
        <v>1.4052</v>
      </c>
      <c r="G87">
        <v>1.4077</v>
      </c>
      <c r="H87">
        <v>23.08</v>
      </c>
      <c r="I87">
        <v>23.094799999999999</v>
      </c>
      <c r="J87">
        <v>23.181699999999999</v>
      </c>
      <c r="K87">
        <v>26.310400000000001</v>
      </c>
      <c r="L87">
        <v>26.653199999999998</v>
      </c>
    </row>
    <row r="88" spans="1:13" x14ac:dyDescent="0.35">
      <c r="A88">
        <v>52072</v>
      </c>
      <c r="B88">
        <v>32</v>
      </c>
      <c r="C88">
        <v>2.75E-2</v>
      </c>
      <c r="D88">
        <v>0.12230000000000001</v>
      </c>
      <c r="E88">
        <v>0.46829999999999999</v>
      </c>
      <c r="F88">
        <v>1.3884000000000001</v>
      </c>
      <c r="G88">
        <v>1.3908</v>
      </c>
      <c r="H88">
        <v>23.1372</v>
      </c>
      <c r="I88">
        <v>23.1523</v>
      </c>
      <c r="J88">
        <v>23.238199999999999</v>
      </c>
      <c r="K88">
        <v>26.359500000000001</v>
      </c>
      <c r="L88">
        <v>26.452300000000001</v>
      </c>
    </row>
  </sheetData>
  <sortState xmlns:xlrd2="http://schemas.microsoft.com/office/spreadsheetml/2017/richdata2" ref="A3:L78">
    <sortCondition ref="B3:B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results_5_1.3_7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Chini</cp:lastModifiedBy>
  <dcterms:created xsi:type="dcterms:W3CDTF">2026-06-15T13:33:14Z</dcterms:created>
  <dcterms:modified xsi:type="dcterms:W3CDTF">2026-06-15T13:38:04Z</dcterms:modified>
</cp:coreProperties>
</file>